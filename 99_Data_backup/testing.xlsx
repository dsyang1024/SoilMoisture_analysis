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0.sharepoint.com/sites/PHIGLabGroup/Shared Documents/Bowling Lab Group/DWR_In-field_Management/2023/"/>
    </mc:Choice>
  </mc:AlternateContent>
  <xr:revisionPtr revIDLastSave="1496" documentId="8_{F57D5D62-16AE-429E-B528-F4AC7DCF197A}" xr6:coauthVersionLast="47" xr6:coauthVersionMax="47" xr10:uidLastSave="{2A79738F-D1D7-4871-92F8-9930D2C0FDD3}"/>
  <bookViews>
    <workbookView xWindow="0" yWindow="500" windowWidth="56260" windowHeight="30820" xr2:uid="{696EC6B5-0BBE-4BB6-980B-970A29E50FF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Sheet1!$Y$1:$Y$95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I5" i="1"/>
  <c r="I4" i="1"/>
  <c r="X5" i="1"/>
  <c r="J5" i="1"/>
  <c r="J4" i="1"/>
  <c r="A4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</calcChain>
</file>

<file path=xl/sharedStrings.xml><?xml version="1.0" encoding="utf-8"?>
<sst xmlns="http://schemas.openxmlformats.org/spreadsheetml/2006/main" count="59" uniqueCount="36">
  <si>
    <t xml:space="preserve">Date </t>
  </si>
  <si>
    <t>Name</t>
  </si>
  <si>
    <t>Corn</t>
  </si>
  <si>
    <t>Soybeans</t>
  </si>
  <si>
    <t>Water source used</t>
  </si>
  <si>
    <t>Final Flowrate</t>
  </si>
  <si>
    <t>Total volume at beginning</t>
  </si>
  <si>
    <t>Total volume at end of day</t>
  </si>
  <si>
    <t>Pres. @ pump</t>
  </si>
  <si>
    <t>Pres after filter</t>
  </si>
  <si>
    <t>Cleaned filter?</t>
  </si>
  <si>
    <t>Checked for leaks?</t>
  </si>
  <si>
    <t>Plots leaks found (list plots and # of leaks)</t>
  </si>
  <si>
    <t xml:space="preserve">Fixed leaks? </t>
  </si>
  <si>
    <t># gallons of gas filled</t>
  </si>
  <si>
    <t>Notes</t>
  </si>
  <si>
    <t>Suggested Irrig. time</t>
  </si>
  <si>
    <t>Irrig?</t>
  </si>
  <si>
    <t>Fert?</t>
  </si>
  <si>
    <t>Time started</t>
  </si>
  <si>
    <t>Time ended</t>
  </si>
  <si>
    <t>Total time (hr)</t>
  </si>
  <si>
    <t>Calculated Avg. flowrate (GPM)</t>
  </si>
  <si>
    <t>Est. depth applied (inches,based on time)</t>
  </si>
  <si>
    <t>Calc. depth applied (inches, based on gallons), 7.48 gallons/ft3</t>
  </si>
  <si>
    <t>Calc. depth applied (inches, based on gallons)</t>
  </si>
  <si>
    <t>gpm</t>
  </si>
  <si>
    <t>gallons</t>
  </si>
  <si>
    <t>psi</t>
  </si>
  <si>
    <t>Yes</t>
  </si>
  <si>
    <t>Laura &amp; DK</t>
  </si>
  <si>
    <t>No</t>
  </si>
  <si>
    <t>Wetland</t>
  </si>
  <si>
    <t>no</t>
  </si>
  <si>
    <t>none</t>
  </si>
  <si>
    <t>Zones 19 &amp; 22 were pulsing at the ball valve by the shed during the entire application.  Stopped when turned 19 to open.  Flow rate at the meter was oscillating between ~20 gpm to 35 gpm. We would expect 26.33  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</si>
</sst>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20" fontId="0" fillId="3" borderId="0" xfId="0" applyNumberFormat="1" applyFill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/>
    <xf numFmtId="2" fontId="0" fillId="4" borderId="0" xfId="0" applyNumberFormat="1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A3F9-31F4-4503-AE8E-D0F8C750CEFB}">
  <sheetPr>
    <pageSetUpPr fitToPage="1"/>
  </sheetPr>
  <dimension ref="A1:AF95"/>
  <sheetViews>
    <sheetView tabSelected="1" topLeftCell="B1" zoomScale="150" workbookViewId="0">
      <pane ySplit="2" topLeftCell="A3" activePane="bottomLeft" state="frozen"/>
      <selection pane="bottomLeft" activeCell="O2" sqref="O2"/>
      <selection activeCell="B1" sqref="B1"/>
    </sheetView>
  </sheetViews>
  <sheetFormatPr defaultColWidth="8.85546875" defaultRowHeight="15"/>
  <cols>
    <col min="1" max="1" width="9.7109375" bestFit="1" customWidth="1"/>
    <col min="2" max="2" width="15.7109375" bestFit="1" customWidth="1"/>
    <col min="3" max="3" width="9.7109375" style="5" customWidth="1"/>
    <col min="4" max="4" width="5.42578125" bestFit="1" customWidth="1"/>
    <col min="5" max="5" width="5.42578125" customWidth="1"/>
    <col min="6" max="6" width="12.140625" bestFit="1" customWidth="1"/>
    <col min="7" max="7" width="11.42578125" bestFit="1" customWidth="1"/>
    <col min="8" max="8" width="13.85546875" bestFit="1" customWidth="1"/>
    <col min="9" max="11" width="13.85546875" customWidth="1"/>
    <col min="12" max="12" width="10.85546875" style="5" customWidth="1"/>
    <col min="13" max="13" width="5.42578125" bestFit="1" customWidth="1"/>
    <col min="14" max="14" width="5.42578125" customWidth="1"/>
    <col min="15" max="15" width="12.140625" bestFit="1" customWidth="1"/>
    <col min="16" max="16" width="11.42578125" bestFit="1" customWidth="1"/>
    <col min="17" max="17" width="13.140625" style="12" customWidth="1"/>
    <col min="18" max="20" width="13.140625" style="3" customWidth="1"/>
    <col min="21" max="21" width="17.85546875" style="17" bestFit="1" customWidth="1"/>
    <col min="22" max="22" width="8.85546875" style="18" bestFit="1" customWidth="1"/>
    <col min="23" max="23" width="15.85546875" style="18" customWidth="1"/>
    <col min="24" max="24" width="13.42578125" style="18" customWidth="1"/>
    <col min="25" max="25" width="13.42578125" style="18" bestFit="1" customWidth="1"/>
    <col min="26" max="26" width="14.42578125" style="18" bestFit="1" customWidth="1"/>
    <col min="27" max="27" width="14.28515625" style="18" bestFit="1" customWidth="1"/>
    <col min="28" max="28" width="17.85546875" bestFit="1" customWidth="1"/>
    <col min="29" max="29" width="17.85546875" customWidth="1"/>
    <col min="30" max="30" width="12.28515625" bestFit="1" customWidth="1"/>
    <col min="31" max="31" width="15" bestFit="1" customWidth="1"/>
    <col min="32" max="32" width="47.140625" bestFit="1" customWidth="1"/>
  </cols>
  <sheetData>
    <row r="1" spans="1:32" ht="60.75" customHeight="1">
      <c r="A1" s="2" t="s">
        <v>0</v>
      </c>
      <c r="B1" s="2" t="s">
        <v>1</v>
      </c>
      <c r="C1" s="30" t="s">
        <v>2</v>
      </c>
      <c r="D1" s="31"/>
      <c r="E1" s="31"/>
      <c r="F1" s="31"/>
      <c r="G1" s="31"/>
      <c r="H1" s="31"/>
      <c r="I1" s="31"/>
      <c r="J1" s="31"/>
      <c r="K1" s="32"/>
      <c r="L1" s="30" t="s">
        <v>3</v>
      </c>
      <c r="M1" s="31"/>
      <c r="N1" s="31"/>
      <c r="O1" s="31"/>
      <c r="P1" s="31"/>
      <c r="Q1" s="31"/>
      <c r="R1" s="31"/>
      <c r="S1" s="31"/>
      <c r="T1" s="32"/>
      <c r="U1" s="6" t="s">
        <v>4</v>
      </c>
      <c r="V1" s="9" t="s">
        <v>5</v>
      </c>
      <c r="W1" s="9" t="s">
        <v>6</v>
      </c>
      <c r="X1" s="9" t="s">
        <v>7</v>
      </c>
      <c r="Y1" s="2" t="s">
        <v>8</v>
      </c>
      <c r="Z1" s="2" t="s">
        <v>9</v>
      </c>
      <c r="AA1" s="2" t="s">
        <v>10</v>
      </c>
      <c r="AB1" s="29" t="s">
        <v>11</v>
      </c>
      <c r="AC1" s="28" t="s">
        <v>12</v>
      </c>
      <c r="AD1" s="29" t="s">
        <v>13</v>
      </c>
      <c r="AE1" s="28" t="s">
        <v>14</v>
      </c>
      <c r="AF1" s="29" t="s">
        <v>15</v>
      </c>
    </row>
    <row r="2" spans="1:32" ht="91.5">
      <c r="C2" s="7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0" t="s">
        <v>22</v>
      </c>
      <c r="J2" s="10" t="s">
        <v>23</v>
      </c>
      <c r="K2" s="10" t="s">
        <v>24</v>
      </c>
      <c r="L2" s="8" t="s">
        <v>16</v>
      </c>
      <c r="M2" t="s">
        <v>17</v>
      </c>
      <c r="N2" t="s">
        <v>18</v>
      </c>
      <c r="O2" t="s">
        <v>19</v>
      </c>
      <c r="P2" t="s">
        <v>20</v>
      </c>
      <c r="Q2" s="12" t="s">
        <v>21</v>
      </c>
      <c r="R2" s="10" t="s">
        <v>22</v>
      </c>
      <c r="S2" s="10" t="s">
        <v>23</v>
      </c>
      <c r="T2" s="10" t="s">
        <v>25</v>
      </c>
      <c r="V2" s="3" t="s">
        <v>26</v>
      </c>
      <c r="W2" s="3" t="s">
        <v>27</v>
      </c>
      <c r="X2" s="3" t="s">
        <v>27</v>
      </c>
      <c r="Y2" s="3" t="s">
        <v>28</v>
      </c>
      <c r="Z2" s="3" t="s">
        <v>28</v>
      </c>
      <c r="AA2" s="3"/>
      <c r="AB2" s="29"/>
      <c r="AC2" s="28"/>
      <c r="AD2" s="29"/>
      <c r="AE2" s="28"/>
      <c r="AF2" s="29"/>
    </row>
    <row r="3" spans="1:32">
      <c r="A3" s="1">
        <v>45474</v>
      </c>
      <c r="H3" s="16"/>
      <c r="I3" s="15"/>
      <c r="J3" s="15"/>
      <c r="K3" s="15"/>
      <c r="L3" s="26"/>
      <c r="Q3" s="11"/>
      <c r="R3" s="13"/>
      <c r="S3" s="14"/>
      <c r="T3" s="15"/>
      <c r="U3" s="25"/>
      <c r="V3" s="20"/>
      <c r="W3" s="20"/>
      <c r="X3" s="20"/>
      <c r="Y3" s="20"/>
      <c r="Z3" s="20"/>
      <c r="AA3" s="20" t="s">
        <v>29</v>
      </c>
    </row>
    <row r="4" spans="1:32">
      <c r="A4" s="1">
        <f>A3+1</f>
        <v>45475</v>
      </c>
      <c r="B4" s="22" t="s">
        <v>30</v>
      </c>
      <c r="C4" s="23">
        <v>2</v>
      </c>
      <c r="D4" s="22" t="s">
        <v>29</v>
      </c>
      <c r="E4" s="22" t="s">
        <v>31</v>
      </c>
      <c r="F4" s="24">
        <v>0.46111111111111114</v>
      </c>
      <c r="G4" s="24">
        <v>0.54861111111111116</v>
      </c>
      <c r="H4" s="16">
        <v>2</v>
      </c>
      <c r="I4" s="15">
        <f>(X4-W4)/(H4*60)</f>
        <v>26.108333333333334</v>
      </c>
      <c r="J4" s="27">
        <f>H4*0.048</f>
        <v>9.6000000000000002E-2</v>
      </c>
      <c r="K4" s="27">
        <f>12*((X4-W4)/7.48)/(4*60*220)</f>
        <v>9.5193242586290708E-2</v>
      </c>
      <c r="L4" s="26">
        <v>0</v>
      </c>
      <c r="M4" s="22" t="s">
        <v>31</v>
      </c>
      <c r="N4" s="22" t="s">
        <v>31</v>
      </c>
      <c r="Q4" s="11"/>
      <c r="R4" s="13"/>
      <c r="S4" s="14"/>
      <c r="T4" s="15"/>
      <c r="U4" s="19" t="s">
        <v>32</v>
      </c>
      <c r="V4" s="20">
        <v>15.98</v>
      </c>
      <c r="W4" s="20">
        <v>598300</v>
      </c>
      <c r="X4" s="20">
        <v>601433</v>
      </c>
      <c r="Y4" s="20"/>
      <c r="Z4" s="20"/>
      <c r="AA4" s="20" t="s">
        <v>33</v>
      </c>
      <c r="AB4" s="22" t="s">
        <v>29</v>
      </c>
      <c r="AC4" s="22" t="s">
        <v>34</v>
      </c>
      <c r="AD4" s="22"/>
      <c r="AE4" s="22">
        <v>10</v>
      </c>
    </row>
    <row r="5" spans="1:32">
      <c r="A5" s="1">
        <v>45475</v>
      </c>
      <c r="B5" s="22" t="s">
        <v>30</v>
      </c>
      <c r="C5" s="23">
        <v>2</v>
      </c>
      <c r="D5" s="22" t="s">
        <v>31</v>
      </c>
      <c r="E5" s="22" t="s">
        <v>29</v>
      </c>
      <c r="F5" s="24">
        <v>0.65625</v>
      </c>
      <c r="G5" s="24">
        <v>0.73958333333333337</v>
      </c>
      <c r="H5" s="16">
        <v>2</v>
      </c>
      <c r="I5" s="15">
        <f>(X5-W5)/(H5*60)</f>
        <v>25.041666666666668</v>
      </c>
      <c r="J5" s="27">
        <f>H5*0.048</f>
        <v>9.6000000000000002E-2</v>
      </c>
      <c r="K5" s="27">
        <f>12*((X5-W5)/7.48)/(4*60*220)</f>
        <v>9.130408361691783E-2</v>
      </c>
      <c r="L5" s="26">
        <v>0</v>
      </c>
      <c r="M5" s="22" t="s">
        <v>31</v>
      </c>
      <c r="N5" s="22" t="s">
        <v>31</v>
      </c>
      <c r="Q5" s="11"/>
      <c r="R5" s="13"/>
      <c r="S5" s="14"/>
      <c r="T5" s="15"/>
      <c r="U5" s="19" t="s">
        <v>32</v>
      </c>
      <c r="V5" s="20">
        <v>21.21</v>
      </c>
      <c r="W5" s="20">
        <v>601433</v>
      </c>
      <c r="X5" s="20">
        <f>604228+210</f>
        <v>604438</v>
      </c>
      <c r="Y5" s="20">
        <v>40</v>
      </c>
      <c r="Z5" s="20">
        <v>35</v>
      </c>
      <c r="AA5" s="20" t="s">
        <v>33</v>
      </c>
      <c r="AB5" s="22" t="s">
        <v>29</v>
      </c>
      <c r="AC5" s="22" t="s">
        <v>34</v>
      </c>
      <c r="AD5" s="22"/>
      <c r="AE5" s="22"/>
      <c r="AF5" t="s">
        <v>35</v>
      </c>
    </row>
    <row r="6" spans="1:32">
      <c r="A6" s="1">
        <f>A4+1</f>
        <v>45476</v>
      </c>
      <c r="H6" s="16"/>
      <c r="I6" s="15"/>
      <c r="J6" s="15"/>
      <c r="K6" s="15"/>
      <c r="L6" s="26"/>
      <c r="Q6" s="11"/>
      <c r="R6" s="13"/>
      <c r="S6" s="14"/>
      <c r="T6" s="15"/>
      <c r="U6" s="19"/>
      <c r="V6" s="20"/>
      <c r="W6" s="20"/>
      <c r="X6" s="20"/>
      <c r="Y6" s="20"/>
      <c r="Z6" s="20"/>
      <c r="AA6" s="20"/>
      <c r="AB6" s="22"/>
      <c r="AC6" s="22"/>
      <c r="AD6" s="22"/>
      <c r="AE6" s="22"/>
    </row>
    <row r="7" spans="1:32">
      <c r="A7" s="1">
        <f t="shared" ref="A7:A69" si="0">A6+1</f>
        <v>45477</v>
      </c>
      <c r="H7" s="16"/>
      <c r="I7" s="15"/>
      <c r="J7" s="15"/>
      <c r="K7" s="15"/>
      <c r="L7" s="26"/>
      <c r="Q7" s="11"/>
      <c r="R7" s="13"/>
      <c r="S7" s="14"/>
      <c r="T7" s="15"/>
      <c r="U7" s="19"/>
      <c r="V7" s="20"/>
      <c r="W7" s="20"/>
      <c r="X7" s="20"/>
      <c r="Y7" s="20"/>
      <c r="Z7" s="20"/>
      <c r="AA7" s="20"/>
      <c r="AB7" s="22"/>
      <c r="AC7" s="22"/>
      <c r="AD7" s="22"/>
      <c r="AE7" s="22"/>
    </row>
    <row r="8" spans="1:32">
      <c r="A8" s="1">
        <f t="shared" si="0"/>
        <v>45478</v>
      </c>
      <c r="H8" s="16"/>
      <c r="I8" s="15"/>
      <c r="J8" s="15"/>
      <c r="K8" s="15"/>
      <c r="L8" s="26"/>
      <c r="Q8" s="11"/>
      <c r="R8" s="13"/>
      <c r="S8" s="14"/>
      <c r="T8" s="15"/>
      <c r="U8" s="19"/>
      <c r="V8" s="20"/>
      <c r="W8" s="20"/>
      <c r="X8" s="20"/>
      <c r="Y8" s="20"/>
      <c r="Z8" s="20"/>
      <c r="AA8" s="20"/>
      <c r="AB8" s="22"/>
      <c r="AC8" s="22"/>
      <c r="AD8" s="22"/>
      <c r="AE8" s="22"/>
    </row>
    <row r="9" spans="1:32">
      <c r="A9" s="1">
        <f t="shared" si="0"/>
        <v>45479</v>
      </c>
      <c r="H9" s="16"/>
      <c r="I9" s="15"/>
      <c r="J9" s="15"/>
      <c r="K9" s="15"/>
      <c r="L9" s="26"/>
      <c r="Q9" s="11"/>
      <c r="R9" s="13"/>
      <c r="S9" s="14"/>
      <c r="T9" s="15"/>
      <c r="U9" s="19"/>
      <c r="V9" s="20"/>
      <c r="W9" s="20"/>
      <c r="X9" s="20"/>
      <c r="Y9" s="20"/>
      <c r="Z9" s="20"/>
      <c r="AA9" s="20"/>
      <c r="AB9" s="22"/>
      <c r="AC9" s="22"/>
      <c r="AD9" s="22"/>
      <c r="AE9" s="22"/>
    </row>
    <row r="10" spans="1:32">
      <c r="A10" s="1">
        <f t="shared" si="0"/>
        <v>45480</v>
      </c>
      <c r="F10" s="4"/>
      <c r="G10" s="4"/>
      <c r="H10" s="16"/>
      <c r="I10" s="15"/>
      <c r="J10" s="15"/>
      <c r="K10" s="15"/>
      <c r="L10" s="26"/>
      <c r="Q10" s="11"/>
      <c r="R10" s="13"/>
      <c r="S10" s="14"/>
      <c r="T10" s="15"/>
      <c r="U10" s="19"/>
      <c r="V10" s="20"/>
      <c r="W10" s="20"/>
      <c r="X10" s="20"/>
      <c r="Y10" s="20"/>
      <c r="Z10" s="20"/>
      <c r="AA10" s="20"/>
      <c r="AB10" s="22"/>
      <c r="AC10" s="22"/>
      <c r="AD10" s="22"/>
      <c r="AE10" s="22"/>
    </row>
    <row r="11" spans="1:32">
      <c r="A11" s="1">
        <f t="shared" si="0"/>
        <v>45481</v>
      </c>
      <c r="H11" s="16"/>
      <c r="I11" s="15"/>
      <c r="J11" s="15"/>
      <c r="K11" s="15"/>
      <c r="L11" s="26"/>
      <c r="Q11" s="11"/>
      <c r="R11" s="13"/>
      <c r="S11" s="14"/>
      <c r="T11" s="15"/>
      <c r="U11" s="19"/>
      <c r="V11" s="20"/>
      <c r="W11" s="20"/>
      <c r="X11" s="20"/>
      <c r="Y11" s="20"/>
      <c r="Z11" s="20"/>
      <c r="AA11" s="20"/>
      <c r="AB11" s="22"/>
      <c r="AC11" s="22"/>
      <c r="AD11" s="22"/>
      <c r="AE11" s="22"/>
    </row>
    <row r="12" spans="1:32">
      <c r="A12" s="1">
        <f t="shared" si="0"/>
        <v>45482</v>
      </c>
      <c r="H12" s="16"/>
      <c r="I12" s="15"/>
      <c r="J12" s="15"/>
      <c r="K12" s="15"/>
      <c r="L12" s="26"/>
      <c r="Q12" s="11"/>
      <c r="R12" s="13"/>
      <c r="S12" s="14"/>
      <c r="T12" s="15"/>
      <c r="U12" s="19"/>
      <c r="V12" s="20"/>
      <c r="W12" s="20"/>
      <c r="X12" s="20"/>
      <c r="Y12" s="20"/>
      <c r="Z12" s="20"/>
      <c r="AA12" s="20"/>
      <c r="AB12" s="22"/>
      <c r="AC12" s="22"/>
      <c r="AD12" s="22"/>
      <c r="AE12" s="22"/>
    </row>
    <row r="13" spans="1:32">
      <c r="A13" s="1">
        <f t="shared" si="0"/>
        <v>45483</v>
      </c>
      <c r="H13" s="16"/>
      <c r="I13" s="15"/>
      <c r="J13" s="15"/>
      <c r="K13" s="15"/>
      <c r="L13" s="26"/>
      <c r="Q13" s="11"/>
      <c r="R13" s="13"/>
      <c r="S13" s="14"/>
      <c r="T13" s="15"/>
      <c r="U13" s="19"/>
      <c r="V13" s="20"/>
      <c r="W13" s="20"/>
      <c r="X13" s="20"/>
      <c r="Y13" s="20"/>
      <c r="Z13" s="20"/>
      <c r="AA13" s="20"/>
      <c r="AB13" s="22"/>
      <c r="AC13" s="22"/>
      <c r="AD13" s="22"/>
      <c r="AE13" s="22"/>
    </row>
    <row r="14" spans="1:32">
      <c r="A14" s="1">
        <f t="shared" si="0"/>
        <v>45484</v>
      </c>
      <c r="F14" s="4"/>
      <c r="G14" s="4"/>
      <c r="H14" s="16"/>
      <c r="I14" s="15"/>
      <c r="J14" s="15"/>
      <c r="K14" s="15"/>
      <c r="L14" s="26"/>
      <c r="Q14" s="11"/>
      <c r="R14" s="13"/>
      <c r="S14" s="14"/>
      <c r="T14" s="15"/>
      <c r="U14" s="19"/>
      <c r="V14" s="20"/>
      <c r="W14" s="20"/>
      <c r="X14" s="20"/>
      <c r="Y14" s="20"/>
      <c r="Z14" s="20"/>
      <c r="AA14" s="20"/>
      <c r="AB14" s="22"/>
      <c r="AC14" s="22"/>
      <c r="AD14" s="22"/>
      <c r="AE14" s="22"/>
    </row>
    <row r="15" spans="1:32">
      <c r="A15" s="1">
        <f t="shared" si="0"/>
        <v>45485</v>
      </c>
      <c r="H15" s="16"/>
      <c r="I15" s="15"/>
      <c r="J15" s="15"/>
      <c r="K15" s="15"/>
      <c r="L15" s="26"/>
      <c r="Q15" s="11"/>
      <c r="R15" s="13"/>
      <c r="S15" s="14"/>
      <c r="T15" s="15"/>
      <c r="U15" s="19"/>
      <c r="V15" s="20"/>
      <c r="W15" s="20"/>
      <c r="X15" s="20"/>
      <c r="Y15" s="20"/>
      <c r="Z15" s="20"/>
      <c r="AA15" s="20"/>
    </row>
    <row r="16" spans="1:32">
      <c r="A16" s="1">
        <f t="shared" si="0"/>
        <v>45486</v>
      </c>
      <c r="H16" s="16"/>
      <c r="I16" s="15"/>
      <c r="J16" s="15"/>
      <c r="K16" s="15"/>
      <c r="L16" s="26"/>
      <c r="Q16" s="11"/>
      <c r="R16" s="13"/>
      <c r="S16" s="14"/>
      <c r="T16" s="15"/>
      <c r="U16" s="19"/>
      <c r="V16" s="20"/>
      <c r="W16" s="20"/>
      <c r="X16" s="20"/>
      <c r="Y16" s="20"/>
      <c r="Z16" s="20"/>
      <c r="AA16" s="20"/>
    </row>
    <row r="17" spans="1:29">
      <c r="A17" s="1">
        <f t="shared" si="0"/>
        <v>45487</v>
      </c>
      <c r="F17" s="4"/>
      <c r="G17" s="4"/>
      <c r="H17" s="16"/>
      <c r="I17" s="15"/>
      <c r="J17" s="15"/>
      <c r="K17" s="15"/>
      <c r="L17" s="26"/>
      <c r="Q17" s="11"/>
      <c r="R17" s="13"/>
      <c r="S17" s="14"/>
      <c r="T17" s="15"/>
      <c r="U17" s="19"/>
      <c r="V17" s="20"/>
      <c r="W17" s="20"/>
      <c r="X17" s="20"/>
      <c r="Y17" s="20"/>
      <c r="Z17" s="20"/>
      <c r="AA17" s="20"/>
      <c r="AC17" s="20"/>
    </row>
    <row r="18" spans="1:29">
      <c r="A18" s="1">
        <f t="shared" si="0"/>
        <v>45488</v>
      </c>
      <c r="H18" s="16"/>
      <c r="I18" s="15"/>
      <c r="J18" s="15"/>
      <c r="K18" s="15"/>
      <c r="L18" s="26"/>
      <c r="Q18" s="11"/>
      <c r="R18" s="13"/>
      <c r="S18" s="14"/>
      <c r="T18" s="15"/>
      <c r="U18" s="19"/>
      <c r="V18" s="20"/>
      <c r="W18" s="20"/>
      <c r="X18" s="20"/>
      <c r="Y18" s="20"/>
      <c r="Z18" s="20"/>
      <c r="AA18" s="20"/>
    </row>
    <row r="19" spans="1:29">
      <c r="A19" s="1">
        <f t="shared" si="0"/>
        <v>45489</v>
      </c>
      <c r="H19" s="16"/>
      <c r="I19" s="15"/>
      <c r="J19" s="15"/>
      <c r="K19" s="15"/>
      <c r="L19" s="26"/>
      <c r="Q19" s="11"/>
      <c r="R19" s="13"/>
      <c r="S19" s="14"/>
      <c r="T19" s="15"/>
      <c r="U19" s="19"/>
      <c r="V19" s="20"/>
      <c r="W19" s="20"/>
      <c r="X19" s="20"/>
      <c r="Y19" s="20"/>
      <c r="Z19" s="20"/>
      <c r="AA19" s="20"/>
    </row>
    <row r="20" spans="1:29">
      <c r="A20" s="1">
        <f t="shared" si="0"/>
        <v>45490</v>
      </c>
      <c r="H20" s="16"/>
      <c r="I20" s="15"/>
      <c r="J20" s="15"/>
      <c r="K20" s="15"/>
      <c r="L20" s="26"/>
      <c r="Q20" s="11"/>
      <c r="R20" s="13"/>
      <c r="S20" s="14"/>
      <c r="T20" s="15"/>
      <c r="U20" s="19"/>
      <c r="V20" s="20"/>
      <c r="W20" s="20"/>
      <c r="X20" s="20"/>
      <c r="Y20" s="20"/>
      <c r="Z20" s="20"/>
      <c r="AA20" s="20"/>
    </row>
    <row r="21" spans="1:29">
      <c r="A21" s="1">
        <f t="shared" si="0"/>
        <v>45491</v>
      </c>
      <c r="H21" s="16"/>
      <c r="I21" s="15"/>
      <c r="J21" s="15"/>
      <c r="K21" s="15"/>
      <c r="L21" s="26"/>
      <c r="Q21" s="11"/>
      <c r="R21" s="13"/>
      <c r="S21" s="14"/>
      <c r="T21" s="15"/>
      <c r="U21" s="19"/>
      <c r="V21" s="20"/>
      <c r="W21" s="20"/>
      <c r="X21" s="20"/>
      <c r="Y21" s="20"/>
      <c r="Z21" s="20"/>
      <c r="AA21" s="20"/>
    </row>
    <row r="22" spans="1:29">
      <c r="A22" s="1">
        <f t="shared" si="0"/>
        <v>45492</v>
      </c>
      <c r="F22" s="4"/>
      <c r="G22" s="4"/>
      <c r="H22" s="16"/>
      <c r="I22" s="15"/>
      <c r="J22" s="15"/>
      <c r="K22" s="15"/>
      <c r="L22" s="26"/>
      <c r="Q22" s="11"/>
      <c r="R22" s="13"/>
      <c r="S22" s="14"/>
      <c r="T22" s="15"/>
      <c r="U22" s="19"/>
      <c r="V22" s="20"/>
      <c r="W22" s="20"/>
      <c r="X22" s="20"/>
      <c r="Y22" s="20"/>
      <c r="Z22" s="20"/>
      <c r="AA22" s="20"/>
    </row>
    <row r="23" spans="1:29">
      <c r="A23" s="1">
        <f t="shared" si="0"/>
        <v>45493</v>
      </c>
      <c r="H23" s="16"/>
      <c r="I23" s="15"/>
      <c r="J23" s="15"/>
      <c r="K23" s="15"/>
      <c r="L23" s="26"/>
      <c r="Q23" s="11"/>
      <c r="R23" s="13"/>
      <c r="S23" s="14"/>
      <c r="T23" s="15"/>
      <c r="U23" s="19"/>
      <c r="V23" s="20"/>
      <c r="W23" s="20"/>
      <c r="X23" s="20"/>
      <c r="Y23" s="20"/>
      <c r="Z23" s="20"/>
      <c r="AA23" s="20"/>
    </row>
    <row r="24" spans="1:29">
      <c r="A24" s="1">
        <f t="shared" si="0"/>
        <v>45494</v>
      </c>
      <c r="H24" s="16"/>
      <c r="I24" s="15"/>
      <c r="J24" s="15"/>
      <c r="K24" s="15"/>
      <c r="L24" s="26"/>
      <c r="Q24" s="11"/>
      <c r="R24" s="13"/>
      <c r="S24" s="14"/>
      <c r="T24" s="15"/>
      <c r="U24" s="19"/>
      <c r="V24" s="20"/>
      <c r="W24" s="20"/>
      <c r="X24" s="20"/>
      <c r="Y24" s="20"/>
      <c r="Z24" s="20"/>
      <c r="AA24" s="20"/>
    </row>
    <row r="25" spans="1:29">
      <c r="A25" s="1">
        <f t="shared" si="0"/>
        <v>45495</v>
      </c>
      <c r="H25" s="16"/>
      <c r="I25" s="15"/>
      <c r="J25" s="15"/>
      <c r="K25" s="15"/>
      <c r="L25" s="26"/>
      <c r="Q25" s="11"/>
      <c r="R25" s="13"/>
      <c r="S25" s="14"/>
      <c r="T25" s="15"/>
      <c r="U25" s="19"/>
      <c r="V25" s="20"/>
      <c r="W25" s="20"/>
      <c r="X25" s="20"/>
      <c r="Y25" s="20"/>
      <c r="Z25" s="20"/>
      <c r="AA25" s="20"/>
    </row>
    <row r="26" spans="1:29">
      <c r="A26" s="1">
        <f t="shared" si="0"/>
        <v>45496</v>
      </c>
      <c r="H26" s="16"/>
      <c r="I26" s="15"/>
      <c r="J26" s="15"/>
      <c r="K26" s="15"/>
      <c r="L26" s="26"/>
      <c r="Q26" s="11"/>
      <c r="R26" s="13"/>
      <c r="S26" s="14"/>
      <c r="T26" s="15"/>
      <c r="U26" s="19"/>
      <c r="V26" s="20"/>
      <c r="W26" s="20"/>
      <c r="X26" s="20"/>
      <c r="Y26" s="20"/>
      <c r="Z26" s="20"/>
      <c r="AA26" s="20"/>
    </row>
    <row r="27" spans="1:29">
      <c r="A27" s="1">
        <f t="shared" si="0"/>
        <v>45497</v>
      </c>
      <c r="H27" s="16"/>
      <c r="I27" s="15"/>
      <c r="J27" s="15"/>
      <c r="K27" s="15"/>
      <c r="L27" s="26"/>
      <c r="Q27" s="11"/>
      <c r="R27" s="13"/>
      <c r="S27" s="14"/>
      <c r="T27" s="15"/>
      <c r="U27" s="19"/>
      <c r="V27" s="20"/>
      <c r="W27" s="20"/>
      <c r="X27" s="20"/>
      <c r="Y27" s="20"/>
      <c r="Z27" s="20"/>
      <c r="AA27" s="20"/>
    </row>
    <row r="28" spans="1:29">
      <c r="A28" s="1">
        <f t="shared" si="0"/>
        <v>45498</v>
      </c>
      <c r="H28" s="16"/>
      <c r="I28" s="15"/>
      <c r="J28" s="15"/>
      <c r="K28" s="15"/>
      <c r="L28" s="26"/>
      <c r="O28" s="4"/>
      <c r="P28" s="4"/>
      <c r="Q28" s="11"/>
      <c r="R28" s="13"/>
      <c r="S28" s="14"/>
      <c r="T28" s="15"/>
      <c r="U28" s="19"/>
      <c r="V28" s="20"/>
      <c r="W28" s="20"/>
      <c r="X28" s="20"/>
      <c r="Y28" s="20"/>
      <c r="Z28" s="20"/>
      <c r="AA28" s="20"/>
    </row>
    <row r="29" spans="1:29">
      <c r="A29" s="1">
        <f t="shared" si="0"/>
        <v>45499</v>
      </c>
      <c r="H29" s="16"/>
      <c r="I29" s="15"/>
      <c r="J29" s="15"/>
      <c r="K29" s="15"/>
      <c r="L29" s="26"/>
      <c r="Q29" s="11"/>
      <c r="R29" s="13"/>
      <c r="S29" s="14"/>
      <c r="T29" s="15"/>
      <c r="U29" s="19"/>
      <c r="V29" s="20"/>
      <c r="W29" s="20"/>
      <c r="X29" s="20"/>
      <c r="Y29" s="20"/>
      <c r="Z29" s="20"/>
      <c r="AA29" s="20"/>
    </row>
    <row r="30" spans="1:29">
      <c r="A30" s="1">
        <f t="shared" si="0"/>
        <v>45500</v>
      </c>
      <c r="F30" s="4"/>
      <c r="G30" s="4"/>
      <c r="H30" s="16"/>
      <c r="I30" s="15"/>
      <c r="J30" s="15"/>
      <c r="K30" s="15"/>
      <c r="L30" s="26"/>
      <c r="Q30" s="11"/>
      <c r="R30" s="13"/>
      <c r="S30" s="14"/>
      <c r="T30" s="15"/>
      <c r="U30" s="19"/>
      <c r="V30" s="20"/>
      <c r="W30" s="20"/>
      <c r="X30" s="20"/>
      <c r="Y30" s="20"/>
      <c r="Z30" s="20"/>
      <c r="AA30" s="20"/>
    </row>
    <row r="31" spans="1:29">
      <c r="A31" s="1">
        <f t="shared" si="0"/>
        <v>45501</v>
      </c>
      <c r="H31" s="16"/>
      <c r="I31" s="15"/>
      <c r="J31" s="15"/>
      <c r="K31" s="15"/>
      <c r="L31" s="26"/>
      <c r="Q31" s="11"/>
      <c r="R31" s="13"/>
      <c r="S31" s="14"/>
      <c r="T31" s="15"/>
      <c r="U31" s="19"/>
      <c r="V31" s="20"/>
      <c r="W31" s="20"/>
      <c r="X31" s="20"/>
      <c r="Y31" s="20"/>
      <c r="Z31" s="20"/>
      <c r="AA31" s="20"/>
    </row>
    <row r="32" spans="1:29">
      <c r="A32" s="1">
        <f t="shared" si="0"/>
        <v>45502</v>
      </c>
      <c r="H32" s="16"/>
      <c r="I32" s="15"/>
      <c r="J32" s="15"/>
      <c r="K32" s="15"/>
      <c r="L32" s="26"/>
      <c r="Q32" s="11"/>
      <c r="R32" s="13"/>
      <c r="S32" s="14"/>
      <c r="T32" s="15"/>
      <c r="U32" s="19"/>
      <c r="V32" s="20"/>
      <c r="W32" s="20"/>
      <c r="X32" s="20"/>
      <c r="Y32" s="20"/>
      <c r="Z32" s="20"/>
      <c r="AA32" s="20"/>
    </row>
    <row r="33" spans="1:27">
      <c r="A33" s="1">
        <f t="shared" si="0"/>
        <v>45503</v>
      </c>
      <c r="H33" s="16"/>
      <c r="I33" s="15"/>
      <c r="J33" s="15"/>
      <c r="K33" s="15"/>
      <c r="L33" s="26"/>
      <c r="Q33" s="11"/>
      <c r="R33" s="13"/>
      <c r="S33" s="14"/>
      <c r="T33" s="15"/>
      <c r="U33" s="19"/>
      <c r="V33" s="20"/>
      <c r="W33" s="20"/>
      <c r="X33" s="20"/>
      <c r="Y33" s="20"/>
      <c r="Z33" s="20"/>
      <c r="AA33" s="20"/>
    </row>
    <row r="34" spans="1:27">
      <c r="A34" s="1">
        <f t="shared" si="0"/>
        <v>45504</v>
      </c>
      <c r="H34" s="16"/>
      <c r="I34" s="15"/>
      <c r="J34" s="15"/>
      <c r="K34" s="15"/>
      <c r="L34" s="26"/>
      <c r="Q34" s="11"/>
      <c r="R34" s="13"/>
      <c r="S34" s="14"/>
      <c r="T34" s="15"/>
      <c r="U34" s="19"/>
      <c r="V34" s="20"/>
      <c r="W34" s="20"/>
      <c r="X34" s="20"/>
      <c r="Y34" s="20"/>
      <c r="Z34" s="20"/>
      <c r="AA34" s="20"/>
    </row>
    <row r="35" spans="1:27">
      <c r="A35" s="1">
        <f t="shared" si="0"/>
        <v>45505</v>
      </c>
      <c r="H35" s="16"/>
      <c r="I35" s="15"/>
      <c r="J35" s="15"/>
      <c r="K35" s="15"/>
      <c r="L35" s="26"/>
      <c r="Q35" s="11"/>
      <c r="R35" s="13"/>
      <c r="S35" s="14"/>
      <c r="T35" s="15"/>
      <c r="U35" s="19"/>
      <c r="V35" s="20"/>
      <c r="W35" s="20"/>
      <c r="X35" s="20"/>
      <c r="Y35" s="20"/>
      <c r="Z35" s="20"/>
      <c r="AA35" s="20"/>
    </row>
    <row r="36" spans="1:27">
      <c r="A36" s="1">
        <f t="shared" si="0"/>
        <v>45506</v>
      </c>
      <c r="H36" s="16"/>
      <c r="I36" s="15"/>
      <c r="J36" s="15"/>
      <c r="K36" s="15"/>
      <c r="L36" s="26"/>
      <c r="Q36" s="11"/>
      <c r="R36" s="13"/>
      <c r="S36" s="14"/>
      <c r="T36" s="15"/>
      <c r="U36" s="19"/>
      <c r="V36" s="20"/>
      <c r="W36" s="20"/>
      <c r="X36" s="20"/>
      <c r="Y36" s="20"/>
      <c r="Z36" s="20"/>
      <c r="AA36" s="20"/>
    </row>
    <row r="37" spans="1:27">
      <c r="A37" s="1">
        <f t="shared" si="0"/>
        <v>45507</v>
      </c>
      <c r="H37" s="16"/>
      <c r="I37" s="15"/>
      <c r="J37" s="15"/>
      <c r="K37" s="15"/>
      <c r="L37" s="26"/>
      <c r="Q37" s="11"/>
      <c r="R37" s="13"/>
      <c r="S37" s="14"/>
      <c r="T37" s="15"/>
      <c r="U37" s="19"/>
      <c r="V37" s="20"/>
      <c r="W37" s="20"/>
      <c r="X37" s="20"/>
      <c r="Y37" s="20"/>
      <c r="Z37" s="20"/>
      <c r="AA37" s="20"/>
    </row>
    <row r="38" spans="1:27">
      <c r="A38" s="1">
        <f t="shared" si="0"/>
        <v>45508</v>
      </c>
      <c r="F38" s="4"/>
      <c r="G38" s="4"/>
      <c r="H38" s="16"/>
      <c r="I38" s="15"/>
      <c r="J38" s="15"/>
      <c r="K38" s="15"/>
      <c r="L38" s="26"/>
      <c r="O38" s="4"/>
      <c r="P38" s="4"/>
      <c r="Q38" s="11"/>
      <c r="R38" s="13"/>
      <c r="S38" s="14"/>
      <c r="T38" s="15"/>
      <c r="U38" s="19"/>
      <c r="V38" s="20"/>
      <c r="W38" s="20"/>
      <c r="X38" s="20"/>
      <c r="Y38" s="20"/>
      <c r="Z38" s="20"/>
      <c r="AA38" s="20"/>
    </row>
    <row r="39" spans="1:27">
      <c r="A39" s="1">
        <f t="shared" si="0"/>
        <v>45509</v>
      </c>
      <c r="H39" s="16"/>
      <c r="I39" s="15"/>
      <c r="J39" s="15"/>
      <c r="K39" s="15"/>
      <c r="L39" s="26"/>
      <c r="Q39" s="11"/>
      <c r="R39" s="13"/>
      <c r="S39" s="14"/>
      <c r="T39" s="15"/>
      <c r="U39" s="19"/>
      <c r="V39" s="20"/>
      <c r="W39" s="20"/>
      <c r="X39" s="20"/>
      <c r="Y39" s="20"/>
      <c r="Z39" s="20"/>
      <c r="AA39" s="20"/>
    </row>
    <row r="40" spans="1:27">
      <c r="A40" s="1">
        <f t="shared" si="0"/>
        <v>45510</v>
      </c>
      <c r="H40" s="16"/>
      <c r="I40" s="15"/>
      <c r="J40" s="15"/>
      <c r="K40" s="15"/>
      <c r="L40" s="26"/>
      <c r="Q40" s="11"/>
      <c r="R40" s="13"/>
      <c r="S40" s="14"/>
      <c r="T40" s="15"/>
      <c r="U40" s="19"/>
      <c r="V40" s="20"/>
      <c r="W40" s="20"/>
      <c r="X40" s="20"/>
      <c r="Y40" s="20"/>
      <c r="Z40" s="20"/>
      <c r="AA40" s="20"/>
    </row>
    <row r="41" spans="1:27">
      <c r="A41" s="1">
        <f t="shared" si="0"/>
        <v>45511</v>
      </c>
      <c r="H41" s="16"/>
      <c r="I41" s="15"/>
      <c r="J41" s="15"/>
      <c r="K41" s="15"/>
      <c r="L41" s="26"/>
      <c r="Q41" s="11"/>
      <c r="R41" s="13"/>
      <c r="S41" s="14"/>
      <c r="T41" s="15"/>
      <c r="U41" s="19"/>
      <c r="V41" s="20"/>
      <c r="W41" s="20"/>
      <c r="X41" s="20"/>
      <c r="Y41" s="20"/>
      <c r="Z41" s="20"/>
      <c r="AA41" s="20"/>
    </row>
    <row r="42" spans="1:27">
      <c r="A42" s="1">
        <f t="shared" si="0"/>
        <v>45512</v>
      </c>
      <c r="H42" s="16"/>
      <c r="I42" s="15"/>
      <c r="J42" s="15"/>
      <c r="K42" s="15"/>
      <c r="L42" s="26"/>
      <c r="Q42" s="11"/>
      <c r="R42" s="13"/>
      <c r="S42" s="14"/>
      <c r="T42" s="15"/>
      <c r="U42" s="19"/>
      <c r="V42" s="20"/>
      <c r="W42" s="20"/>
      <c r="X42" s="20"/>
      <c r="Y42" s="20"/>
      <c r="Z42" s="20"/>
      <c r="AA42" s="20"/>
    </row>
    <row r="43" spans="1:27">
      <c r="A43" s="1">
        <f t="shared" si="0"/>
        <v>45513</v>
      </c>
      <c r="H43" s="16"/>
      <c r="I43" s="15"/>
      <c r="J43" s="15"/>
      <c r="K43" s="15"/>
      <c r="L43" s="26"/>
      <c r="Q43" s="11"/>
      <c r="R43" s="13"/>
      <c r="S43" s="14"/>
      <c r="T43" s="15"/>
      <c r="U43" s="19"/>
      <c r="V43" s="20"/>
      <c r="W43" s="20"/>
      <c r="X43" s="20"/>
      <c r="Y43" s="20"/>
      <c r="Z43" s="20"/>
      <c r="AA43" s="20"/>
    </row>
    <row r="44" spans="1:27">
      <c r="A44" s="1">
        <f t="shared" si="0"/>
        <v>45514</v>
      </c>
      <c r="H44" s="16"/>
      <c r="I44" s="15"/>
      <c r="J44" s="15"/>
      <c r="K44" s="15"/>
      <c r="L44" s="26"/>
      <c r="Q44" s="11"/>
      <c r="R44" s="13"/>
      <c r="S44" s="14"/>
      <c r="T44" s="15"/>
      <c r="U44" s="19"/>
      <c r="V44" s="20"/>
      <c r="W44" s="20"/>
      <c r="X44" s="20"/>
      <c r="Y44" s="20"/>
      <c r="Z44" s="20"/>
      <c r="AA44" s="20"/>
    </row>
    <row r="45" spans="1:27">
      <c r="A45" s="1">
        <f t="shared" si="0"/>
        <v>45515</v>
      </c>
      <c r="H45" s="16"/>
      <c r="I45" s="15"/>
      <c r="J45" s="15"/>
      <c r="K45" s="15"/>
      <c r="L45" s="26"/>
      <c r="Q45" s="11"/>
      <c r="R45" s="13"/>
      <c r="S45" s="14"/>
      <c r="T45" s="15"/>
      <c r="U45" s="19"/>
      <c r="V45" s="20"/>
      <c r="W45" s="20"/>
      <c r="X45" s="20"/>
      <c r="Y45" s="20"/>
      <c r="Z45" s="20"/>
      <c r="AA45" s="20"/>
    </row>
    <row r="46" spans="1:27">
      <c r="A46" s="1">
        <f t="shared" si="0"/>
        <v>45516</v>
      </c>
      <c r="H46" s="16"/>
      <c r="I46" s="15"/>
      <c r="J46" s="15"/>
      <c r="K46" s="15"/>
      <c r="L46" s="26"/>
      <c r="Q46" s="11"/>
      <c r="R46" s="13"/>
      <c r="S46" s="14"/>
      <c r="T46" s="15"/>
      <c r="U46" s="19"/>
      <c r="V46" s="20"/>
      <c r="W46" s="20"/>
      <c r="X46" s="20"/>
      <c r="Y46" s="20"/>
      <c r="Z46" s="20"/>
      <c r="AA46" s="20"/>
    </row>
    <row r="47" spans="1:27">
      <c r="A47" s="1">
        <f t="shared" si="0"/>
        <v>45517</v>
      </c>
      <c r="H47" s="16"/>
      <c r="I47" s="15"/>
      <c r="J47" s="15"/>
      <c r="K47" s="15"/>
      <c r="L47" s="26"/>
      <c r="Q47" s="11"/>
      <c r="R47" s="13"/>
      <c r="S47" s="14"/>
      <c r="T47" s="15"/>
      <c r="U47" s="19"/>
      <c r="V47" s="20"/>
      <c r="W47" s="20"/>
      <c r="X47" s="20"/>
      <c r="Y47" s="20"/>
      <c r="Z47" s="20"/>
      <c r="AA47" s="20"/>
    </row>
    <row r="48" spans="1:27">
      <c r="A48" s="1">
        <f t="shared" si="0"/>
        <v>45518</v>
      </c>
      <c r="H48" s="16"/>
      <c r="I48" s="15"/>
      <c r="J48" s="15"/>
      <c r="K48" s="15"/>
      <c r="L48" s="26"/>
      <c r="Q48" s="11"/>
      <c r="R48" s="13"/>
      <c r="S48" s="14"/>
      <c r="T48" s="15"/>
      <c r="U48" s="19"/>
      <c r="V48" s="20"/>
      <c r="W48" s="20"/>
      <c r="X48" s="20"/>
      <c r="Y48" s="20"/>
      <c r="Z48" s="20"/>
      <c r="AA48" s="20"/>
    </row>
    <row r="49" spans="1:27">
      <c r="A49" s="1">
        <f t="shared" si="0"/>
        <v>45519</v>
      </c>
      <c r="H49" s="16"/>
      <c r="I49" s="15"/>
      <c r="J49" s="15"/>
      <c r="K49" s="15"/>
      <c r="L49" s="26"/>
      <c r="Q49" s="11"/>
      <c r="R49" s="13"/>
      <c r="S49" s="14"/>
      <c r="T49" s="15"/>
      <c r="U49" s="19"/>
      <c r="V49" s="20"/>
      <c r="W49" s="20"/>
      <c r="X49" s="20"/>
      <c r="Y49" s="20"/>
      <c r="Z49" s="20"/>
      <c r="AA49" s="20"/>
    </row>
    <row r="50" spans="1:27">
      <c r="A50" s="1">
        <f t="shared" si="0"/>
        <v>45520</v>
      </c>
      <c r="H50" s="16"/>
      <c r="I50" s="15"/>
      <c r="J50" s="15"/>
      <c r="K50" s="15"/>
      <c r="L50" s="26"/>
      <c r="Q50" s="11"/>
      <c r="R50" s="13"/>
      <c r="S50" s="14"/>
      <c r="T50" s="15"/>
      <c r="U50" s="19"/>
      <c r="V50" s="20"/>
      <c r="W50" s="20"/>
      <c r="X50" s="20"/>
      <c r="Y50" s="20"/>
      <c r="Z50" s="20"/>
      <c r="AA50" s="20"/>
    </row>
    <row r="51" spans="1:27">
      <c r="A51" s="1">
        <f t="shared" si="0"/>
        <v>45521</v>
      </c>
      <c r="H51" s="16"/>
      <c r="I51" s="15"/>
      <c r="J51" s="15"/>
      <c r="K51" s="15"/>
      <c r="L51" s="26"/>
      <c r="Q51" s="11"/>
      <c r="R51" s="13"/>
      <c r="S51" s="14"/>
      <c r="T51" s="15"/>
      <c r="U51" s="19"/>
      <c r="V51" s="20"/>
      <c r="W51" s="20"/>
      <c r="X51" s="20"/>
      <c r="Y51" s="20"/>
      <c r="Z51" s="20"/>
      <c r="AA51" s="20"/>
    </row>
    <row r="52" spans="1:27">
      <c r="A52" s="1">
        <f t="shared" si="0"/>
        <v>45522</v>
      </c>
      <c r="H52" s="16"/>
      <c r="I52" s="15"/>
      <c r="J52" s="15"/>
      <c r="K52" s="15"/>
      <c r="L52" s="26"/>
      <c r="Q52" s="11"/>
      <c r="R52" s="13"/>
      <c r="S52" s="14"/>
      <c r="T52" s="15"/>
      <c r="U52" s="19"/>
      <c r="V52" s="20"/>
      <c r="W52" s="20"/>
      <c r="X52" s="20"/>
      <c r="Y52" s="20"/>
      <c r="Z52" s="20"/>
      <c r="AA52" s="20"/>
    </row>
    <row r="53" spans="1:27">
      <c r="A53" s="1">
        <f t="shared" si="0"/>
        <v>45523</v>
      </c>
      <c r="H53" s="16"/>
      <c r="I53" s="15"/>
      <c r="J53" s="15"/>
      <c r="K53" s="15"/>
      <c r="L53" s="26"/>
      <c r="Q53" s="11"/>
      <c r="R53" s="13"/>
      <c r="S53" s="14"/>
      <c r="T53" s="15"/>
      <c r="U53" s="19"/>
      <c r="V53" s="20"/>
      <c r="W53" s="20"/>
      <c r="X53" s="20"/>
      <c r="Y53" s="20"/>
      <c r="Z53" s="20"/>
      <c r="AA53" s="20"/>
    </row>
    <row r="54" spans="1:27">
      <c r="A54" s="1">
        <f t="shared" si="0"/>
        <v>45524</v>
      </c>
      <c r="H54" s="16"/>
      <c r="I54" s="15"/>
      <c r="J54" s="15"/>
      <c r="K54" s="15"/>
      <c r="L54" s="26"/>
      <c r="Q54" s="11"/>
      <c r="R54" s="13"/>
      <c r="S54" s="14"/>
      <c r="T54" s="15"/>
      <c r="U54" s="19"/>
      <c r="V54" s="20"/>
      <c r="W54" s="20"/>
      <c r="X54" s="20"/>
      <c r="Y54" s="20"/>
      <c r="Z54" s="20"/>
      <c r="AA54" s="20"/>
    </row>
    <row r="55" spans="1:27">
      <c r="A55" s="1">
        <f t="shared" si="0"/>
        <v>45525</v>
      </c>
      <c r="H55" s="16"/>
      <c r="I55" s="15"/>
      <c r="J55" s="15"/>
      <c r="K55" s="15"/>
      <c r="L55" s="26"/>
      <c r="O55" s="4"/>
      <c r="P55" s="4"/>
      <c r="Q55" s="11"/>
      <c r="R55" s="13"/>
      <c r="S55" s="14"/>
      <c r="T55" s="15"/>
      <c r="U55" s="19"/>
      <c r="V55" s="20"/>
      <c r="W55" s="20"/>
      <c r="X55" s="20"/>
      <c r="Y55" s="20"/>
      <c r="Z55" s="20"/>
      <c r="AA55" s="20"/>
    </row>
    <row r="56" spans="1:27">
      <c r="A56" s="1">
        <f t="shared" si="0"/>
        <v>45526</v>
      </c>
      <c r="H56" s="16"/>
      <c r="I56" s="15"/>
      <c r="J56" s="15"/>
      <c r="K56" s="15"/>
      <c r="L56" s="26"/>
      <c r="Q56" s="11"/>
      <c r="R56" s="13"/>
      <c r="S56" s="14"/>
      <c r="T56" s="15"/>
      <c r="U56" s="19"/>
      <c r="V56" s="20"/>
      <c r="W56" s="20"/>
      <c r="X56" s="20"/>
      <c r="Y56" s="20"/>
      <c r="Z56" s="20"/>
      <c r="AA56" s="20"/>
    </row>
    <row r="57" spans="1:27">
      <c r="A57" s="1">
        <f t="shared" si="0"/>
        <v>45527</v>
      </c>
      <c r="H57" s="16"/>
      <c r="I57" s="15"/>
      <c r="J57" s="15"/>
      <c r="K57" s="15"/>
      <c r="L57" s="26"/>
      <c r="Q57" s="11"/>
      <c r="R57" s="13"/>
      <c r="S57" s="14"/>
      <c r="T57" s="15"/>
      <c r="U57" s="19"/>
      <c r="V57" s="20"/>
      <c r="W57" s="20"/>
      <c r="X57" s="20"/>
      <c r="Y57" s="20"/>
      <c r="Z57" s="20"/>
      <c r="AA57" s="20"/>
    </row>
    <row r="58" spans="1:27">
      <c r="A58" s="1">
        <f t="shared" si="0"/>
        <v>45528</v>
      </c>
      <c r="F58" s="4"/>
      <c r="G58" s="4"/>
      <c r="H58" s="16"/>
      <c r="I58" s="15"/>
      <c r="J58" s="15"/>
      <c r="K58" s="15"/>
      <c r="L58" s="26"/>
      <c r="O58" s="4"/>
      <c r="P58" s="4"/>
      <c r="Q58" s="11"/>
      <c r="R58" s="13"/>
      <c r="S58" s="14"/>
      <c r="T58" s="15"/>
      <c r="U58" s="19"/>
      <c r="V58" s="20"/>
      <c r="W58" s="20"/>
      <c r="X58" s="20"/>
      <c r="Y58" s="20"/>
      <c r="Z58" s="20"/>
      <c r="AA58" s="20"/>
    </row>
    <row r="59" spans="1:27">
      <c r="A59" s="1">
        <f t="shared" si="0"/>
        <v>45529</v>
      </c>
      <c r="H59" s="16"/>
      <c r="I59" s="15"/>
      <c r="J59" s="15"/>
      <c r="K59" s="15"/>
      <c r="L59" s="26"/>
      <c r="Q59" s="11"/>
      <c r="R59" s="13"/>
      <c r="S59" s="14"/>
      <c r="T59" s="15"/>
      <c r="U59" s="19"/>
      <c r="V59" s="20"/>
      <c r="W59" s="20"/>
      <c r="X59" s="20"/>
      <c r="Y59" s="20"/>
      <c r="Z59" s="20"/>
      <c r="AA59" s="20"/>
    </row>
    <row r="60" spans="1:27">
      <c r="A60" s="1">
        <f t="shared" si="0"/>
        <v>45530</v>
      </c>
      <c r="H60" s="16"/>
      <c r="I60" s="15"/>
      <c r="J60" s="15"/>
      <c r="K60" s="15"/>
      <c r="L60" s="26"/>
      <c r="Q60" s="11"/>
      <c r="R60" s="13"/>
      <c r="S60" s="14"/>
      <c r="T60" s="15"/>
      <c r="U60" s="19"/>
      <c r="V60" s="20"/>
      <c r="W60" s="20"/>
      <c r="X60" s="20"/>
      <c r="Y60" s="20"/>
      <c r="Z60" s="20"/>
      <c r="AA60" s="20"/>
    </row>
    <row r="61" spans="1:27">
      <c r="A61" s="1">
        <f t="shared" si="0"/>
        <v>45531</v>
      </c>
      <c r="H61" s="16"/>
      <c r="I61" s="15"/>
      <c r="J61" s="15"/>
      <c r="K61" s="15"/>
      <c r="L61" s="26"/>
      <c r="Q61" s="11"/>
      <c r="R61" s="13"/>
      <c r="S61" s="14"/>
      <c r="T61" s="15"/>
      <c r="U61" s="19"/>
      <c r="V61" s="20"/>
      <c r="W61" s="20"/>
      <c r="X61" s="20"/>
      <c r="Y61" s="20"/>
      <c r="Z61" s="20"/>
      <c r="AA61" s="20"/>
    </row>
    <row r="62" spans="1:27">
      <c r="A62" s="1">
        <f t="shared" si="0"/>
        <v>45532</v>
      </c>
      <c r="F62" s="4"/>
      <c r="G62" s="4"/>
      <c r="H62" s="16"/>
      <c r="I62" s="15"/>
      <c r="J62" s="15"/>
      <c r="K62" s="15"/>
      <c r="L62" s="26"/>
      <c r="Q62" s="11"/>
      <c r="R62" s="13"/>
      <c r="S62" s="14"/>
      <c r="T62" s="15"/>
      <c r="U62" s="19"/>
      <c r="V62" s="20"/>
      <c r="W62" s="20"/>
      <c r="X62" s="20"/>
      <c r="Y62" s="20"/>
      <c r="Z62" s="20"/>
      <c r="AA62" s="20"/>
    </row>
    <row r="63" spans="1:27">
      <c r="A63" s="1">
        <f t="shared" si="0"/>
        <v>45533</v>
      </c>
      <c r="F63" s="4"/>
      <c r="G63" s="4"/>
      <c r="H63" s="16"/>
      <c r="I63" s="15"/>
      <c r="J63" s="15"/>
      <c r="K63" s="15"/>
      <c r="L63" s="26"/>
      <c r="O63" s="4"/>
      <c r="P63" s="4"/>
      <c r="Q63" s="11"/>
      <c r="R63" s="13"/>
      <c r="S63" s="14"/>
      <c r="T63" s="15"/>
      <c r="U63" s="19"/>
      <c r="V63" s="20"/>
      <c r="W63" s="20"/>
      <c r="X63" s="20"/>
      <c r="Y63" s="20"/>
      <c r="Z63" s="20"/>
      <c r="AA63" s="20"/>
    </row>
    <row r="64" spans="1:27">
      <c r="A64" s="1">
        <f t="shared" si="0"/>
        <v>45534</v>
      </c>
      <c r="F64" s="4"/>
      <c r="G64" s="4"/>
      <c r="H64" s="16"/>
      <c r="I64" s="15"/>
      <c r="J64" s="15"/>
      <c r="K64" s="15"/>
      <c r="L64" s="26"/>
      <c r="O64" s="4"/>
      <c r="P64" s="4"/>
      <c r="Q64" s="11"/>
      <c r="R64" s="13"/>
      <c r="S64" s="14"/>
      <c r="T64" s="15"/>
      <c r="U64" s="19"/>
      <c r="V64" s="20"/>
      <c r="W64" s="20"/>
      <c r="X64" s="20"/>
      <c r="Y64" s="20"/>
      <c r="Z64" s="20"/>
      <c r="AA64" s="20"/>
    </row>
    <row r="65" spans="1:27">
      <c r="A65" s="1">
        <f t="shared" si="0"/>
        <v>45535</v>
      </c>
      <c r="H65" s="16"/>
      <c r="I65" s="15"/>
      <c r="J65" s="15"/>
      <c r="K65" s="15"/>
      <c r="L65" s="26"/>
      <c r="O65" s="4"/>
      <c r="P65" s="4"/>
      <c r="Q65" s="11"/>
      <c r="R65" s="13"/>
      <c r="S65" s="14"/>
      <c r="T65" s="15"/>
      <c r="U65" s="21"/>
      <c r="V65" s="20"/>
      <c r="W65" s="20"/>
      <c r="X65" s="20"/>
      <c r="Y65" s="20"/>
      <c r="Z65" s="20"/>
      <c r="AA65" s="20"/>
    </row>
    <row r="66" spans="1:27">
      <c r="A66" s="1">
        <f t="shared" si="0"/>
        <v>45536</v>
      </c>
      <c r="F66" s="4"/>
      <c r="G66" s="4"/>
      <c r="H66" s="16"/>
      <c r="I66" s="15"/>
      <c r="J66" s="15"/>
      <c r="K66" s="15"/>
      <c r="L66" s="26"/>
      <c r="Q66" s="11"/>
      <c r="R66" s="13"/>
      <c r="S66" s="14"/>
      <c r="T66" s="15"/>
      <c r="U66" s="21"/>
      <c r="V66" s="20"/>
      <c r="W66" s="20"/>
      <c r="X66" s="20"/>
      <c r="Y66" s="20"/>
      <c r="Z66" s="20"/>
      <c r="AA66" s="20"/>
    </row>
    <row r="67" spans="1:27">
      <c r="A67" s="1">
        <f t="shared" si="0"/>
        <v>45537</v>
      </c>
      <c r="H67" s="16"/>
      <c r="I67" s="15"/>
      <c r="J67" s="15"/>
      <c r="K67" s="15"/>
      <c r="L67" s="26"/>
      <c r="Q67" s="11"/>
      <c r="R67" s="13"/>
      <c r="S67" s="14"/>
      <c r="T67" s="15"/>
      <c r="U67" s="21"/>
      <c r="V67" s="20"/>
      <c r="W67" s="20"/>
      <c r="X67" s="20"/>
      <c r="Y67" s="20"/>
      <c r="Z67" s="20"/>
      <c r="AA67" s="20"/>
    </row>
    <row r="68" spans="1:27">
      <c r="A68" s="1">
        <f t="shared" si="0"/>
        <v>45538</v>
      </c>
      <c r="F68" s="4"/>
      <c r="G68" s="4"/>
      <c r="H68" s="16"/>
      <c r="I68" s="15"/>
      <c r="J68" s="15"/>
      <c r="K68" s="15"/>
      <c r="L68" s="26"/>
      <c r="O68" s="4"/>
      <c r="P68" s="4"/>
      <c r="Q68" s="11"/>
      <c r="R68" s="13"/>
      <c r="S68" s="14"/>
      <c r="T68" s="15"/>
      <c r="U68" s="21"/>
      <c r="V68" s="20"/>
      <c r="W68" s="20"/>
      <c r="X68" s="20"/>
      <c r="Y68" s="20"/>
      <c r="Z68" s="20"/>
      <c r="AA68" s="20"/>
    </row>
    <row r="69" spans="1:27">
      <c r="A69" s="1">
        <f t="shared" si="0"/>
        <v>45539</v>
      </c>
      <c r="H69" s="16"/>
      <c r="I69" s="15"/>
      <c r="J69" s="15"/>
      <c r="K69" s="15"/>
      <c r="L69" s="26"/>
      <c r="Q69" s="11"/>
      <c r="R69" s="13"/>
      <c r="S69" s="14"/>
      <c r="T69" s="15"/>
      <c r="U69" s="21"/>
      <c r="V69" s="20"/>
      <c r="W69" s="20"/>
      <c r="X69" s="20"/>
      <c r="Y69" s="20"/>
      <c r="Z69" s="20"/>
      <c r="AA69" s="20"/>
    </row>
    <row r="70" spans="1:27">
      <c r="A70" s="1">
        <f t="shared" ref="A70:A95" si="1">A69+1</f>
        <v>45540</v>
      </c>
      <c r="F70" s="4"/>
      <c r="G70" s="4"/>
      <c r="H70" s="16"/>
      <c r="I70" s="15"/>
      <c r="J70" s="15"/>
      <c r="K70" s="15"/>
      <c r="L70" s="26"/>
      <c r="O70" s="4"/>
      <c r="P70" s="4"/>
      <c r="Q70" s="11"/>
      <c r="R70" s="13"/>
      <c r="S70" s="14"/>
      <c r="T70" s="15"/>
      <c r="U70" s="21"/>
      <c r="V70" s="20"/>
      <c r="W70" s="20"/>
      <c r="X70" s="20"/>
      <c r="Y70" s="20"/>
      <c r="Z70" s="20"/>
      <c r="AA70" s="20"/>
    </row>
    <row r="71" spans="1:27">
      <c r="A71" s="1">
        <f t="shared" si="1"/>
        <v>45541</v>
      </c>
      <c r="H71" s="16"/>
      <c r="I71" s="15"/>
      <c r="J71" s="15"/>
      <c r="K71" s="15"/>
      <c r="L71" s="26"/>
      <c r="Q71" s="11"/>
      <c r="R71" s="13"/>
      <c r="S71" s="14"/>
      <c r="T71" s="15"/>
      <c r="U71" s="21"/>
      <c r="V71" s="20"/>
      <c r="W71" s="20"/>
      <c r="X71" s="20"/>
      <c r="Y71" s="20"/>
      <c r="Z71" s="20"/>
      <c r="AA71" s="20"/>
    </row>
    <row r="72" spans="1:27">
      <c r="A72" s="1">
        <f t="shared" si="1"/>
        <v>45542</v>
      </c>
      <c r="H72" s="16"/>
      <c r="I72" s="15"/>
      <c r="J72" s="15"/>
      <c r="K72" s="15"/>
      <c r="L72" s="26"/>
      <c r="O72" s="4"/>
      <c r="P72" s="4"/>
      <c r="Q72" s="11"/>
      <c r="R72" s="13"/>
      <c r="S72" s="14"/>
      <c r="T72" s="15"/>
      <c r="U72" s="21"/>
      <c r="V72" s="20"/>
      <c r="W72" s="20"/>
      <c r="X72" s="20"/>
      <c r="Y72" s="20"/>
      <c r="Z72" s="20"/>
      <c r="AA72" s="20"/>
    </row>
    <row r="73" spans="1:27">
      <c r="A73" s="1">
        <f t="shared" si="1"/>
        <v>45543</v>
      </c>
      <c r="H73" s="16"/>
      <c r="I73" s="15"/>
      <c r="J73" s="15"/>
      <c r="K73" s="15"/>
      <c r="L73" s="26"/>
      <c r="Q73" s="11"/>
      <c r="R73" s="13"/>
      <c r="S73" s="14"/>
      <c r="T73" s="15"/>
      <c r="U73" s="21"/>
      <c r="V73" s="20"/>
      <c r="W73" s="20"/>
      <c r="X73" s="20"/>
      <c r="Y73" s="20"/>
      <c r="Z73" s="20"/>
      <c r="AA73" s="20"/>
    </row>
    <row r="74" spans="1:27">
      <c r="A74" s="1">
        <f t="shared" si="1"/>
        <v>45544</v>
      </c>
      <c r="H74" s="16"/>
      <c r="I74" s="15"/>
      <c r="J74" s="15"/>
      <c r="K74" s="15"/>
      <c r="L74" s="26"/>
      <c r="Q74" s="11"/>
      <c r="R74" s="13"/>
      <c r="S74" s="14"/>
      <c r="T74" s="15"/>
      <c r="U74" s="21"/>
      <c r="V74" s="20"/>
      <c r="W74" s="20"/>
      <c r="X74" s="20"/>
      <c r="Y74" s="20"/>
      <c r="Z74" s="20"/>
      <c r="AA74" s="20"/>
    </row>
    <row r="75" spans="1:27">
      <c r="A75" s="1">
        <f t="shared" si="1"/>
        <v>45545</v>
      </c>
      <c r="H75" s="16"/>
      <c r="I75" s="15"/>
      <c r="J75" s="15"/>
      <c r="K75" s="15"/>
      <c r="L75" s="26"/>
      <c r="Q75" s="11"/>
      <c r="R75" s="13"/>
      <c r="S75" s="14"/>
      <c r="T75" s="15"/>
      <c r="U75" s="21"/>
      <c r="V75" s="20"/>
      <c r="W75" s="20"/>
      <c r="X75" s="20"/>
      <c r="Y75" s="20"/>
      <c r="Z75" s="20"/>
      <c r="AA75" s="20"/>
    </row>
    <row r="76" spans="1:27">
      <c r="A76" s="1">
        <f t="shared" si="1"/>
        <v>45546</v>
      </c>
      <c r="H76" s="16"/>
      <c r="I76" s="15"/>
      <c r="J76" s="15"/>
      <c r="K76" s="15"/>
      <c r="L76" s="26"/>
      <c r="O76" s="4"/>
      <c r="P76" s="4"/>
      <c r="Q76" s="11"/>
      <c r="R76" s="13"/>
      <c r="S76" s="14"/>
      <c r="T76" s="15"/>
      <c r="U76" s="21"/>
      <c r="V76" s="20"/>
      <c r="W76" s="20"/>
      <c r="X76" s="20"/>
      <c r="Y76" s="20"/>
      <c r="Z76" s="20"/>
      <c r="AA76" s="20"/>
    </row>
    <row r="77" spans="1:27">
      <c r="A77" s="1">
        <f t="shared" si="1"/>
        <v>45547</v>
      </c>
      <c r="H77" s="16"/>
      <c r="I77" s="15"/>
      <c r="J77" s="15"/>
      <c r="K77" s="15"/>
      <c r="L77" s="26"/>
      <c r="Q77" s="11"/>
      <c r="R77" s="13"/>
      <c r="S77" s="14"/>
      <c r="T77" s="15"/>
      <c r="U77" s="21"/>
      <c r="V77" s="20"/>
      <c r="W77" s="20"/>
      <c r="X77" s="20"/>
      <c r="Y77" s="20"/>
      <c r="Z77" s="20"/>
      <c r="AA77" s="20"/>
    </row>
    <row r="78" spans="1:27">
      <c r="A78" s="1">
        <f t="shared" si="1"/>
        <v>45548</v>
      </c>
      <c r="H78" s="16"/>
      <c r="I78" s="15"/>
      <c r="J78" s="15"/>
      <c r="K78" s="15"/>
      <c r="L78" s="26"/>
      <c r="Q78" s="11"/>
      <c r="R78" s="13"/>
      <c r="S78" s="14"/>
      <c r="T78" s="15"/>
      <c r="U78" s="21"/>
      <c r="V78" s="20"/>
      <c r="W78" s="20"/>
      <c r="X78" s="20"/>
      <c r="Y78" s="20"/>
      <c r="Z78" s="20"/>
      <c r="AA78" s="20"/>
    </row>
    <row r="79" spans="1:27">
      <c r="A79" s="1">
        <f t="shared" si="1"/>
        <v>45549</v>
      </c>
      <c r="H79" s="16"/>
      <c r="I79" s="15"/>
      <c r="J79" s="15"/>
      <c r="K79" s="15"/>
      <c r="L79" s="26"/>
      <c r="Q79" s="11"/>
      <c r="R79" s="13"/>
      <c r="S79" s="14"/>
      <c r="T79" s="15"/>
      <c r="U79" s="21"/>
      <c r="V79" s="20"/>
      <c r="W79" s="20"/>
      <c r="X79" s="20"/>
      <c r="Y79" s="20"/>
      <c r="Z79" s="20"/>
      <c r="AA79" s="20"/>
    </row>
    <row r="80" spans="1:27">
      <c r="A80" s="1">
        <f t="shared" si="1"/>
        <v>45550</v>
      </c>
      <c r="H80" s="16"/>
      <c r="I80" s="15"/>
      <c r="J80" s="15"/>
      <c r="K80" s="15"/>
      <c r="L80" s="26"/>
      <c r="O80" s="4"/>
      <c r="P80" s="4"/>
      <c r="Q80" s="11"/>
      <c r="R80" s="13"/>
      <c r="S80" s="14"/>
      <c r="T80" s="15"/>
      <c r="U80" s="21"/>
      <c r="V80" s="20"/>
      <c r="W80" s="20"/>
      <c r="X80" s="20"/>
      <c r="Y80" s="20"/>
      <c r="Z80" s="20"/>
      <c r="AA80" s="20"/>
    </row>
    <row r="81" spans="1:27">
      <c r="A81" s="1">
        <f t="shared" si="1"/>
        <v>45551</v>
      </c>
      <c r="H81" s="16"/>
      <c r="I81" s="15"/>
      <c r="J81" s="15"/>
      <c r="K81" s="15"/>
      <c r="L81" s="26"/>
      <c r="Q81" s="11"/>
      <c r="R81" s="13"/>
      <c r="S81" s="14"/>
      <c r="T81" s="15"/>
      <c r="U81" s="21"/>
      <c r="V81" s="20"/>
      <c r="W81" s="20"/>
      <c r="X81" s="20"/>
      <c r="Y81" s="20"/>
      <c r="Z81" s="20"/>
      <c r="AA81" s="20"/>
    </row>
    <row r="82" spans="1:27">
      <c r="A82" s="1">
        <f t="shared" si="1"/>
        <v>45552</v>
      </c>
      <c r="H82" s="16"/>
      <c r="I82" s="15"/>
      <c r="J82" s="15"/>
      <c r="K82" s="15"/>
      <c r="L82" s="26"/>
      <c r="Q82" s="11"/>
      <c r="R82" s="13"/>
      <c r="S82" s="14"/>
      <c r="T82" s="15"/>
      <c r="U82" s="21"/>
      <c r="V82" s="20"/>
      <c r="W82" s="20"/>
      <c r="X82" s="20"/>
      <c r="Y82" s="20"/>
      <c r="Z82" s="20"/>
      <c r="AA82" s="20"/>
    </row>
    <row r="83" spans="1:27">
      <c r="A83" s="1">
        <f t="shared" si="1"/>
        <v>45553</v>
      </c>
      <c r="H83" s="16"/>
      <c r="I83" s="15"/>
      <c r="J83" s="15"/>
      <c r="K83" s="15"/>
      <c r="L83" s="26"/>
      <c r="Q83" s="11"/>
      <c r="R83" s="13"/>
      <c r="S83" s="14"/>
      <c r="T83" s="15"/>
      <c r="U83" s="21"/>
      <c r="V83" s="20"/>
      <c r="W83" s="20"/>
      <c r="X83" s="20"/>
      <c r="Y83" s="20"/>
      <c r="Z83" s="20"/>
      <c r="AA83" s="20"/>
    </row>
    <row r="84" spans="1:27">
      <c r="A84" s="1">
        <f t="shared" si="1"/>
        <v>45554</v>
      </c>
      <c r="H84" s="16"/>
      <c r="I84" s="15"/>
      <c r="J84" s="15"/>
      <c r="K84" s="15"/>
      <c r="L84" s="26"/>
      <c r="O84" s="4"/>
      <c r="P84" s="4"/>
      <c r="Q84" s="11"/>
      <c r="R84" s="13"/>
      <c r="S84" s="14"/>
      <c r="T84" s="15"/>
      <c r="U84" s="21"/>
      <c r="V84" s="20"/>
      <c r="W84" s="20"/>
      <c r="X84" s="20"/>
      <c r="Y84" s="20"/>
      <c r="Z84" s="20"/>
      <c r="AA84" s="20"/>
    </row>
    <row r="85" spans="1:27">
      <c r="A85" s="1">
        <f t="shared" si="1"/>
        <v>45555</v>
      </c>
      <c r="H85" s="16"/>
      <c r="I85" s="15"/>
      <c r="J85" s="15"/>
      <c r="K85" s="15"/>
      <c r="L85" s="26"/>
      <c r="Q85" s="11"/>
      <c r="R85" s="13"/>
      <c r="S85" s="14"/>
      <c r="T85" s="15"/>
      <c r="U85" s="21"/>
      <c r="V85" s="20"/>
      <c r="W85" s="20"/>
      <c r="X85" s="20"/>
      <c r="Y85" s="20"/>
      <c r="Z85" s="20"/>
      <c r="AA85" s="20"/>
    </row>
    <row r="86" spans="1:27">
      <c r="A86" s="1">
        <f t="shared" si="1"/>
        <v>45556</v>
      </c>
      <c r="H86" s="16"/>
      <c r="I86" s="15"/>
      <c r="J86" s="15"/>
      <c r="K86" s="15"/>
      <c r="L86" s="26"/>
      <c r="Q86" s="11"/>
      <c r="R86" s="13"/>
      <c r="S86" s="14"/>
      <c r="T86" s="15"/>
      <c r="U86" s="21"/>
      <c r="V86" s="20"/>
      <c r="W86" s="20"/>
      <c r="X86" s="20"/>
      <c r="Y86" s="20"/>
      <c r="Z86" s="20"/>
      <c r="AA86" s="20"/>
    </row>
    <row r="87" spans="1:27">
      <c r="A87" s="1">
        <f t="shared" si="1"/>
        <v>45557</v>
      </c>
      <c r="H87" s="16"/>
      <c r="I87" s="15"/>
      <c r="J87" s="15"/>
      <c r="K87" s="15"/>
      <c r="L87" s="26"/>
      <c r="Q87" s="11"/>
      <c r="R87" s="13"/>
      <c r="S87" s="14"/>
      <c r="T87" s="15"/>
      <c r="U87" s="21"/>
      <c r="V87" s="20"/>
      <c r="W87" s="20"/>
      <c r="X87" s="20"/>
      <c r="Y87" s="20"/>
      <c r="Z87" s="20"/>
      <c r="AA87" s="20"/>
    </row>
    <row r="88" spans="1:27">
      <c r="A88" s="1">
        <f t="shared" si="1"/>
        <v>45558</v>
      </c>
      <c r="H88" s="16"/>
      <c r="I88" s="15"/>
      <c r="J88" s="15"/>
      <c r="K88" s="15"/>
      <c r="L88" s="26"/>
      <c r="Q88" s="11"/>
      <c r="R88" s="13"/>
      <c r="S88" s="14"/>
      <c r="T88" s="15"/>
      <c r="U88" s="21"/>
      <c r="V88" s="20"/>
      <c r="W88" s="20"/>
      <c r="X88" s="20"/>
      <c r="Y88" s="20"/>
      <c r="Z88" s="20"/>
      <c r="AA88" s="20"/>
    </row>
    <row r="89" spans="1:27">
      <c r="A89" s="1">
        <f t="shared" si="1"/>
        <v>45559</v>
      </c>
      <c r="H89" s="16"/>
      <c r="I89" s="15"/>
      <c r="J89" s="15"/>
      <c r="K89" s="15"/>
      <c r="L89" s="26"/>
      <c r="Q89" s="11"/>
      <c r="R89" s="13"/>
      <c r="S89" s="14"/>
      <c r="T89" s="15"/>
      <c r="U89" s="21"/>
      <c r="V89" s="20"/>
      <c r="W89" s="20"/>
      <c r="X89" s="20"/>
      <c r="Y89" s="20"/>
      <c r="Z89" s="20"/>
      <c r="AA89" s="20"/>
    </row>
    <row r="90" spans="1:27">
      <c r="A90" s="1">
        <f t="shared" si="1"/>
        <v>45560</v>
      </c>
      <c r="H90" s="16"/>
      <c r="I90" s="15"/>
      <c r="J90" s="15"/>
      <c r="K90" s="15"/>
      <c r="L90" s="26"/>
      <c r="Q90" s="11"/>
      <c r="R90" s="13"/>
      <c r="S90" s="14"/>
      <c r="T90" s="15"/>
      <c r="U90" s="21"/>
      <c r="V90" s="20"/>
      <c r="W90" s="20"/>
      <c r="X90" s="20"/>
      <c r="Y90" s="20"/>
      <c r="Z90" s="20"/>
      <c r="AA90" s="20"/>
    </row>
    <row r="91" spans="1:27">
      <c r="A91" s="1">
        <f t="shared" si="1"/>
        <v>45561</v>
      </c>
      <c r="H91" s="16"/>
      <c r="I91" s="15"/>
      <c r="J91" s="15"/>
      <c r="K91" s="15"/>
      <c r="L91" s="26"/>
      <c r="Q91" s="11"/>
      <c r="R91" s="13"/>
      <c r="S91" s="14"/>
      <c r="T91" s="15"/>
      <c r="U91" s="21"/>
      <c r="V91" s="20"/>
      <c r="W91" s="20"/>
      <c r="X91" s="20"/>
      <c r="Y91" s="20"/>
      <c r="Z91" s="20"/>
      <c r="AA91" s="20"/>
    </row>
    <row r="92" spans="1:27">
      <c r="A92" s="1">
        <f t="shared" si="1"/>
        <v>45562</v>
      </c>
      <c r="H92" s="16"/>
      <c r="I92" s="15"/>
      <c r="J92" s="15"/>
      <c r="K92" s="15"/>
      <c r="L92" s="26"/>
      <c r="Q92" s="11"/>
      <c r="R92" s="13"/>
      <c r="S92" s="14"/>
      <c r="T92" s="15"/>
      <c r="U92" s="21"/>
      <c r="V92" s="20"/>
      <c r="W92" s="20"/>
      <c r="X92" s="20"/>
      <c r="Y92" s="20"/>
      <c r="Z92" s="20"/>
      <c r="AA92" s="20"/>
    </row>
    <row r="93" spans="1:27">
      <c r="A93" s="1">
        <f t="shared" si="1"/>
        <v>45563</v>
      </c>
      <c r="H93" s="16"/>
      <c r="I93" s="15"/>
      <c r="J93" s="15"/>
      <c r="K93" s="15"/>
      <c r="L93" s="26"/>
      <c r="Q93" s="11"/>
      <c r="R93" s="13"/>
      <c r="S93" s="14"/>
      <c r="T93" s="15"/>
      <c r="U93" s="21"/>
      <c r="V93" s="20"/>
      <c r="W93" s="20"/>
      <c r="X93" s="20"/>
      <c r="Y93" s="20"/>
      <c r="Z93" s="20"/>
      <c r="AA93" s="20"/>
    </row>
    <row r="94" spans="1:27">
      <c r="A94" s="1">
        <f t="shared" si="1"/>
        <v>45564</v>
      </c>
      <c r="H94" s="16"/>
      <c r="I94" s="15"/>
      <c r="J94" s="15"/>
      <c r="K94" s="15"/>
      <c r="L94" s="26"/>
      <c r="Q94" s="11"/>
      <c r="R94" s="13"/>
      <c r="S94" s="14"/>
      <c r="T94" s="15"/>
      <c r="U94" s="21"/>
      <c r="V94" s="20"/>
      <c r="W94" s="20"/>
      <c r="X94" s="20"/>
      <c r="Y94" s="20"/>
      <c r="Z94" s="20"/>
      <c r="AA94" s="20"/>
    </row>
    <row r="95" spans="1:27">
      <c r="A95" s="1">
        <f t="shared" si="1"/>
        <v>45565</v>
      </c>
      <c r="H95" s="16"/>
      <c r="I95" s="15"/>
      <c r="J95" s="15"/>
      <c r="K95" s="15"/>
      <c r="L95" s="23"/>
      <c r="Q95" s="11"/>
      <c r="R95" s="13"/>
      <c r="S95" s="14"/>
      <c r="T95" s="15"/>
      <c r="U95" s="21"/>
      <c r="V95" s="20"/>
      <c r="W95" s="20"/>
      <c r="X95" s="20"/>
      <c r="Y95" s="20"/>
      <c r="Z95" s="20"/>
      <c r="AA95" s="20"/>
    </row>
  </sheetData>
  <autoFilter ref="Y1:Y95" xr:uid="{EDFBA3F9-31F4-4503-AE8E-D0F8C750CEFB}"/>
  <mergeCells count="7">
    <mergeCell ref="AC1:AC2"/>
    <mergeCell ref="AD1:AD2"/>
    <mergeCell ref="AE1:AE2"/>
    <mergeCell ref="AF1:AF2"/>
    <mergeCell ref="C1:K1"/>
    <mergeCell ref="L1:T1"/>
    <mergeCell ref="AB1:AB2"/>
  </mergeCells>
  <conditionalFormatting sqref="AB14 AD14:AF14 AB15:AF16 AB17 AD17:AF17 AB18:AF95">
    <cfRule type="containsBlanks" dxfId="1" priority="4">
      <formula>LEN(TRIM(AB14))=0</formula>
    </cfRule>
  </conditionalFormatting>
  <conditionalFormatting sqref="AB3:AF13 M3:P95 B3:G95">
    <cfRule type="containsBlanks" dxfId="0" priority="2">
      <formula>LEN(TRIM(B3))=0</formula>
    </cfRule>
  </conditionalFormatting>
  <dataValidations count="1">
    <dataValidation type="list" allowBlank="1" showInputMessage="1" showErrorMessage="1" sqref="M3:N95 D3:E95" xr:uid="{AC387EC0-772A-4B96-8221-F6BB748354FB}">
      <formula1>"Yes, No"</formula1>
    </dataValidation>
  </dataValidations>
  <pageMargins left="0.25" right="0.25" top="0.75" bottom="0.75" header="0.3" footer="0.3"/>
  <pageSetup scale="32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DD45-6548-4862-B333-E9B40957FB9D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5ECA-CA4A-4566-AD7D-62D5D421DF92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A6BA-F182-406E-94E4-2EB2052A402C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3501-CA83-48F1-A4DB-737D7BD6D3EC}">
  <dimension ref="A1"/>
  <sheetViews>
    <sheetView workbookViewId="0">
      <selection activeCell="T43" sqref="T43"/>
    </sheetView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1050ef95-a9ec-4db6-8cc1-15052561961f" xsi:nil="true"/>
    <lcf76f155ced4ddcb4097134ff3c332f xmlns="1050ef95-a9ec-4db6-8cc1-15052561961f">
      <Terms xmlns="http://schemas.microsoft.com/office/infopath/2007/PartnerControls"/>
    </lcf76f155ced4ddcb4097134ff3c332f>
    <TaxCatchAll xmlns="704a13a7-a34d-47e2-a81a-7b294da4f82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8A0BA370F2674581DBFE390E41B891" ma:contentTypeVersion="15" ma:contentTypeDescription="Create a new document." ma:contentTypeScope="" ma:versionID="daa744860c8d1deacacdf9919b3f67d3">
  <xsd:schema xmlns:xsd="http://www.w3.org/2001/XMLSchema" xmlns:xs="http://www.w3.org/2001/XMLSchema" xmlns:p="http://schemas.microsoft.com/office/2006/metadata/properties" xmlns:ns2="1050ef95-a9ec-4db6-8cc1-15052561961f" xmlns:ns3="704a13a7-a34d-47e2-a81a-7b294da4f826" targetNamespace="http://schemas.microsoft.com/office/2006/metadata/properties" ma:root="true" ma:fieldsID="85a52c67a6b8b7c7e442bfb24f77fc74" ns2:_="" ns3:_="">
    <xsd:import namespace="1050ef95-a9ec-4db6-8cc1-15052561961f"/>
    <xsd:import namespace="704a13a7-a34d-47e2-a81a-7b294da4f8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0ef95-a9ec-4db6-8cc1-150525619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a13a7-a34d-47e2-a81a-7b294da4f8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7d9e084-fa6b-4d48-b04b-fc4cbe949dae}" ma:internalName="TaxCatchAll" ma:showField="CatchAllData" ma:web="704a13a7-a34d-47e2-a81a-7b294da4f8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B10CA9-34E9-422E-9309-C72C23E6F5E7}"/>
</file>

<file path=customXml/itemProps2.xml><?xml version="1.0" encoding="utf-8"?>
<ds:datastoreItem xmlns:ds="http://schemas.openxmlformats.org/officeDocument/2006/customXml" ds:itemID="{6167F57E-B5C0-4B00-9435-0BE3DC959027}"/>
</file>

<file path=customXml/itemProps3.xml><?xml version="1.0" encoding="utf-8"?>
<ds:datastoreItem xmlns:ds="http://schemas.openxmlformats.org/officeDocument/2006/customXml" ds:itemID="{4251B25F-7522-4DB3-B93F-134BCDE942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Reviewer</dc:creator>
  <cp:keywords/>
  <dc:description/>
  <cp:lastModifiedBy>Yang, Dongseok</cp:lastModifiedBy>
  <cp:revision/>
  <dcterms:created xsi:type="dcterms:W3CDTF">2022-06-22T18:59:16Z</dcterms:created>
  <dcterms:modified xsi:type="dcterms:W3CDTF">2024-07-03T04:27:44Z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9" name="MediaServiceImageTags">
    <vt:lpwstr/>
  </property>
  <property fmtid="{D5CDD505-2E9C-101B-9397-08002B2CF9AE}" pid="10" name="ContentTypeId">
    <vt:lpwstr>0x010100C38A0BA370F2674581DBFE390E41B891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_activity">
    <vt:lpwstr>{"FileActivityType":"9","FileActivityTimeStamp":"2023-06-23T11:16:32.397Z","FileActivityUsersOnPage":[{"DisplayName":"Bowling, Laura C","Id":"bowling@purdue.edu"}],"FileActivityNavigationId":null}</vt:lpwstr>
  </property>
  <property fmtid="{D5CDD505-2E9C-101B-9397-08002B2CF9AE}" pid="16" name="TriggerFlowInfo">
    <vt:lpwstr/>
  </property>
  <property fmtid="{D5CDD505-2E9C-101B-9397-08002B2CF9AE}" pid="17" name="MSIP_Label_76ade328-6d8b-4bb6-b0f2-8ba20729c087_Enabled">
    <vt:lpwstr>true</vt:lpwstr>
  </property>
  <property fmtid="{D5CDD505-2E9C-101B-9397-08002B2CF9AE}" pid="18" name="MSIP_Label_76ade328-6d8b-4bb6-b0f2-8ba20729c087_SetDate">
    <vt:lpwstr>2024-07-03T04:27:09Z</vt:lpwstr>
  </property>
  <property fmtid="{D5CDD505-2E9C-101B-9397-08002B2CF9AE}" pid="19" name="MSIP_Label_76ade328-6d8b-4bb6-b0f2-8ba20729c087_Method">
    <vt:lpwstr>Privileged</vt:lpwstr>
  </property>
  <property fmtid="{D5CDD505-2E9C-101B-9397-08002B2CF9AE}" pid="20" name="MSIP_Label_76ade328-6d8b-4bb6-b0f2-8ba20729c087_Name">
    <vt:lpwstr>defa4170-0d19-0005-0003-bc88714345d2</vt:lpwstr>
  </property>
  <property fmtid="{D5CDD505-2E9C-101B-9397-08002B2CF9AE}" pid="21" name="MSIP_Label_76ade328-6d8b-4bb6-b0f2-8ba20729c087_SiteId">
    <vt:lpwstr>4130bd39-7c53-419c-b1e5-8758d6d63f21</vt:lpwstr>
  </property>
  <property fmtid="{D5CDD505-2E9C-101B-9397-08002B2CF9AE}" pid="22" name="MSIP_Label_76ade328-6d8b-4bb6-b0f2-8ba20729c087_ActionId">
    <vt:lpwstr>ad8a4574-06b5-49c9-81de-461858f5d6f9</vt:lpwstr>
  </property>
  <property fmtid="{D5CDD505-2E9C-101B-9397-08002B2CF9AE}" pid="23" name="MSIP_Label_76ade328-6d8b-4bb6-b0f2-8ba20729c087_ContentBits">
    <vt:lpwstr>0</vt:lpwstr>
  </property>
</Properties>
</file>